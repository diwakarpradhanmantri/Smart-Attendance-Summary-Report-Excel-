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j/Downloads/"/>
    </mc:Choice>
  </mc:AlternateContent>
  <xr:revisionPtr revIDLastSave="0" documentId="13_ncr:1_{639A442B-3CCF-FF48-A0BA-95FFBC9C9712}" xr6:coauthVersionLast="47" xr6:coauthVersionMax="47" xr10:uidLastSave="{00000000-0000-0000-0000-000000000000}"/>
  <bookViews>
    <workbookView xWindow="0" yWindow="500" windowWidth="28800" windowHeight="15940" activeTab="3" xr2:uid="{00000000-000D-0000-FFFF-FFFF00000000}"/>
  </bookViews>
  <sheets>
    <sheet name="Input" sheetId="1" r:id="rId1"/>
    <sheet name="Summary" sheetId="2" r:id="rId2"/>
    <sheet name="Weekly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D8" i="4"/>
  <c r="D9" i="4"/>
  <c r="D10" i="4"/>
  <c r="E3" i="2"/>
  <c r="E4" i="2"/>
  <c r="E5" i="2"/>
  <c r="E6" i="2"/>
  <c r="E2" i="2"/>
  <c r="D3" i="2"/>
  <c r="D4" i="2"/>
  <c r="D5" i="2"/>
  <c r="D6" i="2"/>
  <c r="D2" i="2"/>
  <c r="B2" i="3" l="1"/>
  <c r="C2" i="2"/>
  <c r="A6" i="4"/>
  <c r="A7" i="4"/>
  <c r="A8" i="4"/>
  <c r="A9" i="4"/>
  <c r="A10" i="4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C6" i="2"/>
  <c r="C10" i="4" s="1"/>
  <c r="B6" i="2"/>
  <c r="C5" i="2"/>
  <c r="C9" i="4" s="1"/>
  <c r="B5" i="2"/>
  <c r="C4" i="2"/>
  <c r="B4" i="2"/>
  <c r="C3" i="2"/>
  <c r="B3" i="2"/>
  <c r="B2" i="2"/>
  <c r="B9" i="4" l="1"/>
  <c r="B10" i="4"/>
  <c r="B8" i="4"/>
  <c r="E8" i="4"/>
  <c r="B6" i="4"/>
  <c r="B7" i="4"/>
  <c r="C7" i="4"/>
  <c r="C8" i="4"/>
  <c r="C6" i="4"/>
  <c r="D6" i="4" l="1"/>
  <c r="E6" i="4"/>
  <c r="D7" i="4"/>
  <c r="E9" i="4"/>
  <c r="E7" i="4"/>
  <c r="E10" i="4"/>
</calcChain>
</file>

<file path=xl/sharedStrings.xml><?xml version="1.0" encoding="utf-8"?>
<sst xmlns="http://schemas.openxmlformats.org/spreadsheetml/2006/main" count="378" uniqueCount="22">
  <si>
    <t>Date</t>
  </si>
  <si>
    <t>Student</t>
  </si>
  <si>
    <t>Status</t>
  </si>
  <si>
    <t>Week</t>
  </si>
  <si>
    <t>Rahul</t>
  </si>
  <si>
    <t>Keerthi</t>
  </si>
  <si>
    <t>Aisha</t>
  </si>
  <si>
    <t>Rohan</t>
  </si>
  <si>
    <t>Neha</t>
  </si>
  <si>
    <t>P</t>
  </si>
  <si>
    <t>A</t>
  </si>
  <si>
    <t>2025-W27</t>
  </si>
  <si>
    <t>2025-W28</t>
  </si>
  <si>
    <t>2025-W29</t>
  </si>
  <si>
    <t>2025-W30</t>
  </si>
  <si>
    <t>2025-W31</t>
  </si>
  <si>
    <t>Total Days</t>
  </si>
  <si>
    <t>Presents</t>
  </si>
  <si>
    <t>Attendance %</t>
  </si>
  <si>
    <t>Smart Attendance Dashboard</t>
  </si>
  <si>
    <t>Attendance Summary</t>
  </si>
  <si>
    <t>Defaulters (&lt;75%)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</si>
</sst>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2" fontId="0" fillId="0" borderId="1" xfId="0" applyNumberFormat="1" applyBorder="1"/>
    <xf numFmtId="164" fontId="0" fillId="0" borderId="1" xfId="0" applyNumberFormat="1" applyBorder="1"/>
    <xf numFmtId="0" fontId="1" fillId="0" borderId="2" xfId="0" applyFont="1" applyBorder="1" applyAlignment="1">
      <alignment horizontal="center"/>
    </xf>
    <xf numFmtId="0" fontId="2" fillId="0" borderId="0" xfId="0" applyFont="1"/>
    <xf numFmtId="10" fontId="0" fillId="0" borderId="1" xfId="0" applyNumberFormat="1" applyBorder="1"/>
  </cellXfs>
  <cellStyles count="1">
    <cellStyle name="Normal" xfId="0" builtinId="0"/>
  </cellStyles>
  <dxfs count="5">
    <dxf>
      <fill>
        <patternFill>
          <bgColor rgb="FFF8CBA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8CBAD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Rahul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Weekly!$A$2:$A$6</c:f>
              <c:strCache>
                <c:ptCount val="5"/>
                <c:pt idx="0">
                  <c:v>2025-W27</c:v>
                </c:pt>
                <c:pt idx="1">
                  <c:v>2025-W28</c:v>
                </c:pt>
                <c:pt idx="2">
                  <c:v>2025-W29</c:v>
                </c:pt>
                <c:pt idx="3">
                  <c:v>2025-W30</c:v>
                </c:pt>
                <c:pt idx="4">
                  <c:v>2025-W31</c:v>
                </c:pt>
              </c:strCache>
            </c:strRef>
          </c:cat>
          <c:val>
            <c:numRef>
              <c:f>Weekly!$B$2:$B$6</c:f>
              <c:numCache>
                <c:formatCode>0.00%</c:formatCode>
                <c:ptCount val="5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E-B249-824B-3DCDC426934F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Keerthi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Weekly!$A$2:$A$6</c:f>
              <c:strCache>
                <c:ptCount val="5"/>
                <c:pt idx="0">
                  <c:v>2025-W27</c:v>
                </c:pt>
                <c:pt idx="1">
                  <c:v>2025-W28</c:v>
                </c:pt>
                <c:pt idx="2">
                  <c:v>2025-W29</c:v>
                </c:pt>
                <c:pt idx="3">
                  <c:v>2025-W30</c:v>
                </c:pt>
                <c:pt idx="4">
                  <c:v>2025-W31</c:v>
                </c:pt>
              </c:strCache>
            </c:strRef>
          </c:cat>
          <c:val>
            <c:numRef>
              <c:f>Weekly!$C$2:$C$6</c:f>
              <c:numCache>
                <c:formatCode>0.00%</c:formatCode>
                <c:ptCount val="5"/>
                <c:pt idx="0">
                  <c:v>0.5</c:v>
                </c:pt>
                <c:pt idx="1">
                  <c:v>0.6</c:v>
                </c:pt>
                <c:pt idx="2">
                  <c:v>0.6</c:v>
                </c:pt>
                <c:pt idx="3">
                  <c:v>0.2</c:v>
                </c:pt>
                <c:pt idx="4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AE-B249-824B-3DCDC426934F}"/>
            </c:ext>
          </c:extLst>
        </c:ser>
        <c:ser>
          <c:idx val="2"/>
          <c:order val="2"/>
          <c:tx>
            <c:strRef>
              <c:f>Weekly!$D$1</c:f>
              <c:strCache>
                <c:ptCount val="1"/>
                <c:pt idx="0">
                  <c:v>Aisha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Weekly!$A$2:$A$6</c:f>
              <c:strCache>
                <c:ptCount val="5"/>
                <c:pt idx="0">
                  <c:v>2025-W27</c:v>
                </c:pt>
                <c:pt idx="1">
                  <c:v>2025-W28</c:v>
                </c:pt>
                <c:pt idx="2">
                  <c:v>2025-W29</c:v>
                </c:pt>
                <c:pt idx="3">
                  <c:v>2025-W30</c:v>
                </c:pt>
                <c:pt idx="4">
                  <c:v>2025-W31</c:v>
                </c:pt>
              </c:strCache>
            </c:strRef>
          </c:cat>
          <c:val>
            <c:numRef>
              <c:f>Weekly!$D$2:$D$6</c:f>
              <c:numCache>
                <c:formatCode>0.00%</c:formatCode>
                <c:ptCount val="5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AE-B249-824B-3DCDC426934F}"/>
            </c:ext>
          </c:extLst>
        </c:ser>
        <c:ser>
          <c:idx val="3"/>
          <c:order val="3"/>
          <c:tx>
            <c:strRef>
              <c:f>Weekly!$E$1</c:f>
              <c:strCache>
                <c:ptCount val="1"/>
                <c:pt idx="0">
                  <c:v>Rohan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Weekly!$A$2:$A$6</c:f>
              <c:strCache>
                <c:ptCount val="5"/>
                <c:pt idx="0">
                  <c:v>2025-W27</c:v>
                </c:pt>
                <c:pt idx="1">
                  <c:v>2025-W28</c:v>
                </c:pt>
                <c:pt idx="2">
                  <c:v>2025-W29</c:v>
                </c:pt>
                <c:pt idx="3">
                  <c:v>2025-W30</c:v>
                </c:pt>
                <c:pt idx="4">
                  <c:v>2025-W31</c:v>
                </c:pt>
              </c:strCache>
            </c:strRef>
          </c:cat>
          <c:val>
            <c:numRef>
              <c:f>Weekly!$E$2:$E$6</c:f>
              <c:numCache>
                <c:formatCode>0.00%</c:formatCode>
                <c:ptCount val="5"/>
                <c:pt idx="0">
                  <c:v>0.75</c:v>
                </c:pt>
                <c:pt idx="1">
                  <c:v>0.6</c:v>
                </c:pt>
                <c:pt idx="2">
                  <c:v>0.8</c:v>
                </c:pt>
                <c:pt idx="3">
                  <c:v>0.8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AE-B249-824B-3DCDC426934F}"/>
            </c:ext>
          </c:extLst>
        </c:ser>
        <c:ser>
          <c:idx val="4"/>
          <c:order val="4"/>
          <c:tx>
            <c:strRef>
              <c:f>Weekly!$F$1</c:f>
              <c:strCache>
                <c:ptCount val="1"/>
                <c:pt idx="0">
                  <c:v>Neha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Weekly!$A$2:$A$6</c:f>
              <c:strCache>
                <c:ptCount val="5"/>
                <c:pt idx="0">
                  <c:v>2025-W27</c:v>
                </c:pt>
                <c:pt idx="1">
                  <c:v>2025-W28</c:v>
                </c:pt>
                <c:pt idx="2">
                  <c:v>2025-W29</c:v>
                </c:pt>
                <c:pt idx="3">
                  <c:v>2025-W30</c:v>
                </c:pt>
                <c:pt idx="4">
                  <c:v>2025-W31</c:v>
                </c:pt>
              </c:strCache>
            </c:strRef>
          </c:cat>
          <c:val>
            <c:numRef>
              <c:f>Weekly!$F$2:$F$6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AE-B249-824B-3DCDC42693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2</xdr:row>
      <xdr:rowOff>50800</xdr:rowOff>
    </xdr:from>
    <xdr:to>
      <xdr:col>19</xdr:col>
      <xdr:colOff>152400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zoomScale="150" zoomScaleNormal="150" workbookViewId="0">
      <selection activeCell="H5" sqref="H5"/>
    </sheetView>
  </sheetViews>
  <sheetFormatPr baseColWidth="10" defaultColWidth="8.83203125" defaultRowHeight="15" x14ac:dyDescent="0.2"/>
  <cols>
    <col min="1" max="1" width="12.6640625" customWidth="1"/>
    <col min="2" max="2" width="14.6640625" customWidth="1"/>
    <col min="3" max="4" width="1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7">
        <v>45839</v>
      </c>
      <c r="B2" s="3" t="s">
        <v>4</v>
      </c>
      <c r="C2" s="3" t="s">
        <v>9</v>
      </c>
      <c r="D2" s="3" t="s">
        <v>11</v>
      </c>
    </row>
    <row r="3" spans="1:4" x14ac:dyDescent="0.2">
      <c r="A3" s="7">
        <v>45839</v>
      </c>
      <c r="B3" s="3" t="s">
        <v>5</v>
      </c>
      <c r="C3" s="3" t="s">
        <v>9</v>
      </c>
      <c r="D3" s="3" t="s">
        <v>11</v>
      </c>
    </row>
    <row r="4" spans="1:4" x14ac:dyDescent="0.2">
      <c r="A4" s="7">
        <v>45839</v>
      </c>
      <c r="B4" s="3" t="s">
        <v>6</v>
      </c>
      <c r="C4" s="3" t="s">
        <v>9</v>
      </c>
      <c r="D4" s="3" t="s">
        <v>11</v>
      </c>
    </row>
    <row r="5" spans="1:4" x14ac:dyDescent="0.2">
      <c r="A5" s="7">
        <v>45839</v>
      </c>
      <c r="B5" s="3" t="s">
        <v>7</v>
      </c>
      <c r="C5" s="3" t="s">
        <v>9</v>
      </c>
      <c r="D5" s="3" t="s">
        <v>11</v>
      </c>
    </row>
    <row r="6" spans="1:4" x14ac:dyDescent="0.2">
      <c r="A6" s="7">
        <v>45839</v>
      </c>
      <c r="B6" s="3" t="s">
        <v>8</v>
      </c>
      <c r="C6" s="3" t="s">
        <v>9</v>
      </c>
      <c r="D6" s="3" t="s">
        <v>11</v>
      </c>
    </row>
    <row r="7" spans="1:4" x14ac:dyDescent="0.2">
      <c r="A7" s="7">
        <v>45840</v>
      </c>
      <c r="B7" s="3" t="s">
        <v>4</v>
      </c>
      <c r="C7" s="3" t="s">
        <v>9</v>
      </c>
      <c r="D7" s="3" t="s">
        <v>11</v>
      </c>
    </row>
    <row r="8" spans="1:4" x14ac:dyDescent="0.2">
      <c r="A8" s="7">
        <v>45840</v>
      </c>
      <c r="B8" s="3" t="s">
        <v>5</v>
      </c>
      <c r="C8" s="3" t="s">
        <v>10</v>
      </c>
      <c r="D8" s="3" t="s">
        <v>11</v>
      </c>
    </row>
    <row r="9" spans="1:4" x14ac:dyDescent="0.2">
      <c r="A9" s="7">
        <v>45840</v>
      </c>
      <c r="B9" s="3" t="s">
        <v>6</v>
      </c>
      <c r="C9" s="3" t="s">
        <v>9</v>
      </c>
      <c r="D9" s="3" t="s">
        <v>11</v>
      </c>
    </row>
    <row r="10" spans="1:4" x14ac:dyDescent="0.2">
      <c r="A10" s="7">
        <v>45840</v>
      </c>
      <c r="B10" s="3" t="s">
        <v>7</v>
      </c>
      <c r="C10" s="3" t="s">
        <v>10</v>
      </c>
      <c r="D10" s="3" t="s">
        <v>11</v>
      </c>
    </row>
    <row r="11" spans="1:4" x14ac:dyDescent="0.2">
      <c r="A11" s="7">
        <v>45840</v>
      </c>
      <c r="B11" s="3" t="s">
        <v>8</v>
      </c>
      <c r="C11" s="3" t="s">
        <v>9</v>
      </c>
      <c r="D11" s="3" t="s">
        <v>11</v>
      </c>
    </row>
    <row r="12" spans="1:4" x14ac:dyDescent="0.2">
      <c r="A12" s="7">
        <v>45841</v>
      </c>
      <c r="B12" s="3" t="s">
        <v>4</v>
      </c>
      <c r="C12" s="3" t="s">
        <v>9</v>
      </c>
      <c r="D12" s="3" t="s">
        <v>11</v>
      </c>
    </row>
    <row r="13" spans="1:4" x14ac:dyDescent="0.2">
      <c r="A13" s="7">
        <v>45841</v>
      </c>
      <c r="B13" s="3" t="s">
        <v>5</v>
      </c>
      <c r="C13" s="3" t="s">
        <v>9</v>
      </c>
      <c r="D13" s="3" t="s">
        <v>11</v>
      </c>
    </row>
    <row r="14" spans="1:4" x14ac:dyDescent="0.2">
      <c r="A14" s="7">
        <v>45841</v>
      </c>
      <c r="B14" s="3" t="s">
        <v>6</v>
      </c>
      <c r="C14" s="3" t="s">
        <v>9</v>
      </c>
      <c r="D14" s="3" t="s">
        <v>11</v>
      </c>
    </row>
    <row r="15" spans="1:4" x14ac:dyDescent="0.2">
      <c r="A15" s="7">
        <v>45841</v>
      </c>
      <c r="B15" s="3" t="s">
        <v>7</v>
      </c>
      <c r="C15" s="3" t="s">
        <v>9</v>
      </c>
      <c r="D15" s="3" t="s">
        <v>11</v>
      </c>
    </row>
    <row r="16" spans="1:4" x14ac:dyDescent="0.2">
      <c r="A16" s="7">
        <v>45841</v>
      </c>
      <c r="B16" s="3" t="s">
        <v>8</v>
      </c>
      <c r="C16" s="3" t="s">
        <v>9</v>
      </c>
      <c r="D16" s="3" t="s">
        <v>11</v>
      </c>
    </row>
    <row r="17" spans="1:4" x14ac:dyDescent="0.2">
      <c r="A17" s="7">
        <v>45842</v>
      </c>
      <c r="B17" s="3" t="s">
        <v>4</v>
      </c>
      <c r="C17" s="3" t="s">
        <v>9</v>
      </c>
      <c r="D17" s="3" t="s">
        <v>11</v>
      </c>
    </row>
    <row r="18" spans="1:4" x14ac:dyDescent="0.2">
      <c r="A18" s="7">
        <v>45842</v>
      </c>
      <c r="B18" s="3" t="s">
        <v>5</v>
      </c>
      <c r="C18" s="3" t="s">
        <v>10</v>
      </c>
      <c r="D18" s="3" t="s">
        <v>11</v>
      </c>
    </row>
    <row r="19" spans="1:4" x14ac:dyDescent="0.2">
      <c r="A19" s="7">
        <v>45842</v>
      </c>
      <c r="B19" s="3" t="s">
        <v>6</v>
      </c>
      <c r="C19" s="3" t="s">
        <v>9</v>
      </c>
      <c r="D19" s="3" t="s">
        <v>11</v>
      </c>
    </row>
    <row r="20" spans="1:4" x14ac:dyDescent="0.2">
      <c r="A20" s="7">
        <v>45842</v>
      </c>
      <c r="B20" s="3" t="s">
        <v>7</v>
      </c>
      <c r="C20" s="3" t="s">
        <v>9</v>
      </c>
      <c r="D20" s="3" t="s">
        <v>11</v>
      </c>
    </row>
    <row r="21" spans="1:4" x14ac:dyDescent="0.2">
      <c r="A21" s="7">
        <v>45842</v>
      </c>
      <c r="B21" s="3" t="s">
        <v>8</v>
      </c>
      <c r="C21" s="3" t="s">
        <v>9</v>
      </c>
      <c r="D21" s="3" t="s">
        <v>11</v>
      </c>
    </row>
    <row r="22" spans="1:4" x14ac:dyDescent="0.2">
      <c r="A22" s="7">
        <v>45845</v>
      </c>
      <c r="B22" s="3" t="s">
        <v>4</v>
      </c>
      <c r="C22" s="3" t="s">
        <v>9</v>
      </c>
      <c r="D22" s="3" t="s">
        <v>12</v>
      </c>
    </row>
    <row r="23" spans="1:4" x14ac:dyDescent="0.2">
      <c r="A23" s="7">
        <v>45845</v>
      </c>
      <c r="B23" s="3" t="s">
        <v>5</v>
      </c>
      <c r="C23" s="3" t="s">
        <v>9</v>
      </c>
      <c r="D23" s="3" t="s">
        <v>12</v>
      </c>
    </row>
    <row r="24" spans="1:4" x14ac:dyDescent="0.2">
      <c r="A24" s="7">
        <v>45845</v>
      </c>
      <c r="B24" s="3" t="s">
        <v>6</v>
      </c>
      <c r="C24" s="3" t="s">
        <v>9</v>
      </c>
      <c r="D24" s="3" t="s">
        <v>12</v>
      </c>
    </row>
    <row r="25" spans="1:4" x14ac:dyDescent="0.2">
      <c r="A25" s="7">
        <v>45845</v>
      </c>
      <c r="B25" s="3" t="s">
        <v>7</v>
      </c>
      <c r="C25" s="3" t="s">
        <v>9</v>
      </c>
      <c r="D25" s="3" t="s">
        <v>12</v>
      </c>
    </row>
    <row r="26" spans="1:4" x14ac:dyDescent="0.2">
      <c r="A26" s="7">
        <v>45845</v>
      </c>
      <c r="B26" s="3" t="s">
        <v>8</v>
      </c>
      <c r="C26" s="3" t="s">
        <v>9</v>
      </c>
      <c r="D26" s="3" t="s">
        <v>12</v>
      </c>
    </row>
    <row r="27" spans="1:4" x14ac:dyDescent="0.2">
      <c r="A27" s="7">
        <v>45846</v>
      </c>
      <c r="B27" s="3" t="s">
        <v>4</v>
      </c>
      <c r="C27" s="3" t="s">
        <v>9</v>
      </c>
      <c r="D27" s="3" t="s">
        <v>12</v>
      </c>
    </row>
    <row r="28" spans="1:4" x14ac:dyDescent="0.2">
      <c r="A28" s="7">
        <v>45846</v>
      </c>
      <c r="B28" s="3" t="s">
        <v>5</v>
      </c>
      <c r="C28" s="3" t="s">
        <v>9</v>
      </c>
      <c r="D28" s="3" t="s">
        <v>12</v>
      </c>
    </row>
    <row r="29" spans="1:4" x14ac:dyDescent="0.2">
      <c r="A29" s="7">
        <v>45846</v>
      </c>
      <c r="B29" s="3" t="s">
        <v>6</v>
      </c>
      <c r="C29" s="3" t="s">
        <v>9</v>
      </c>
      <c r="D29" s="3" t="s">
        <v>12</v>
      </c>
    </row>
    <row r="30" spans="1:4" x14ac:dyDescent="0.2">
      <c r="A30" s="7">
        <v>45846</v>
      </c>
      <c r="B30" s="3" t="s">
        <v>7</v>
      </c>
      <c r="C30" s="3" t="s">
        <v>10</v>
      </c>
      <c r="D30" s="3" t="s">
        <v>12</v>
      </c>
    </row>
    <row r="31" spans="1:4" x14ac:dyDescent="0.2">
      <c r="A31" s="7">
        <v>45846</v>
      </c>
      <c r="B31" s="3" t="s">
        <v>8</v>
      </c>
      <c r="C31" s="3" t="s">
        <v>9</v>
      </c>
      <c r="D31" s="3" t="s">
        <v>12</v>
      </c>
    </row>
    <row r="32" spans="1:4" x14ac:dyDescent="0.2">
      <c r="A32" s="7">
        <v>45847</v>
      </c>
      <c r="B32" s="3" t="s">
        <v>4</v>
      </c>
      <c r="C32" s="3" t="s">
        <v>10</v>
      </c>
      <c r="D32" s="3" t="s">
        <v>12</v>
      </c>
    </row>
    <row r="33" spans="1:4" x14ac:dyDescent="0.2">
      <c r="A33" s="7">
        <v>45847</v>
      </c>
      <c r="B33" s="3" t="s">
        <v>5</v>
      </c>
      <c r="C33" s="3" t="s">
        <v>10</v>
      </c>
      <c r="D33" s="3" t="s">
        <v>12</v>
      </c>
    </row>
    <row r="34" spans="1:4" x14ac:dyDescent="0.2">
      <c r="A34" s="7">
        <v>45847</v>
      </c>
      <c r="B34" s="3" t="s">
        <v>6</v>
      </c>
      <c r="C34" s="3" t="s">
        <v>9</v>
      </c>
      <c r="D34" s="3" t="s">
        <v>12</v>
      </c>
    </row>
    <row r="35" spans="1:4" x14ac:dyDescent="0.2">
      <c r="A35" s="7">
        <v>45847</v>
      </c>
      <c r="B35" s="3" t="s">
        <v>7</v>
      </c>
      <c r="C35" s="3" t="s">
        <v>10</v>
      </c>
      <c r="D35" s="3" t="s">
        <v>12</v>
      </c>
    </row>
    <row r="36" spans="1:4" x14ac:dyDescent="0.2">
      <c r="A36" s="7">
        <v>45847</v>
      </c>
      <c r="B36" s="3" t="s">
        <v>8</v>
      </c>
      <c r="C36" s="3" t="s">
        <v>9</v>
      </c>
      <c r="D36" s="3" t="s">
        <v>12</v>
      </c>
    </row>
    <row r="37" spans="1:4" x14ac:dyDescent="0.2">
      <c r="A37" s="7">
        <v>45848</v>
      </c>
      <c r="B37" s="3" t="s">
        <v>4</v>
      </c>
      <c r="C37" s="3" t="s">
        <v>9</v>
      </c>
      <c r="D37" s="3" t="s">
        <v>12</v>
      </c>
    </row>
    <row r="38" spans="1:4" x14ac:dyDescent="0.2">
      <c r="A38" s="7">
        <v>45848</v>
      </c>
      <c r="B38" s="3" t="s">
        <v>5</v>
      </c>
      <c r="C38" s="3" t="s">
        <v>10</v>
      </c>
      <c r="D38" s="3" t="s">
        <v>12</v>
      </c>
    </row>
    <row r="39" spans="1:4" x14ac:dyDescent="0.2">
      <c r="A39" s="7">
        <v>45848</v>
      </c>
      <c r="B39" s="3" t="s">
        <v>6</v>
      </c>
      <c r="C39" s="3" t="s">
        <v>10</v>
      </c>
      <c r="D39" s="3" t="s">
        <v>12</v>
      </c>
    </row>
    <row r="40" spans="1:4" x14ac:dyDescent="0.2">
      <c r="A40" s="7">
        <v>45848</v>
      </c>
      <c r="B40" s="3" t="s">
        <v>7</v>
      </c>
      <c r="C40" s="3" t="s">
        <v>9</v>
      </c>
      <c r="D40" s="3" t="s">
        <v>12</v>
      </c>
    </row>
    <row r="41" spans="1:4" x14ac:dyDescent="0.2">
      <c r="A41" s="7">
        <v>45848</v>
      </c>
      <c r="B41" s="3" t="s">
        <v>8</v>
      </c>
      <c r="C41" s="3" t="s">
        <v>9</v>
      </c>
      <c r="D41" s="3" t="s">
        <v>12</v>
      </c>
    </row>
    <row r="42" spans="1:4" x14ac:dyDescent="0.2">
      <c r="A42" s="7">
        <v>45849</v>
      </c>
      <c r="B42" s="3" t="s">
        <v>4</v>
      </c>
      <c r="C42" s="3" t="s">
        <v>9</v>
      </c>
      <c r="D42" s="3" t="s">
        <v>12</v>
      </c>
    </row>
    <row r="43" spans="1:4" x14ac:dyDescent="0.2">
      <c r="A43" s="7">
        <v>45849</v>
      </c>
      <c r="B43" s="3" t="s">
        <v>5</v>
      </c>
      <c r="C43" s="3" t="s">
        <v>9</v>
      </c>
      <c r="D43" s="3" t="s">
        <v>12</v>
      </c>
    </row>
    <row r="44" spans="1:4" x14ac:dyDescent="0.2">
      <c r="A44" s="7">
        <v>45849</v>
      </c>
      <c r="B44" s="3" t="s">
        <v>6</v>
      </c>
      <c r="C44" s="3" t="s">
        <v>9</v>
      </c>
      <c r="D44" s="3" t="s">
        <v>12</v>
      </c>
    </row>
    <row r="45" spans="1:4" x14ac:dyDescent="0.2">
      <c r="A45" s="7">
        <v>45849</v>
      </c>
      <c r="B45" s="3" t="s">
        <v>7</v>
      </c>
      <c r="C45" s="3" t="s">
        <v>9</v>
      </c>
      <c r="D45" s="3" t="s">
        <v>12</v>
      </c>
    </row>
    <row r="46" spans="1:4" x14ac:dyDescent="0.2">
      <c r="A46" s="7">
        <v>45849</v>
      </c>
      <c r="B46" s="3" t="s">
        <v>8</v>
      </c>
      <c r="C46" s="3" t="s">
        <v>9</v>
      </c>
      <c r="D46" s="3" t="s">
        <v>12</v>
      </c>
    </row>
    <row r="47" spans="1:4" x14ac:dyDescent="0.2">
      <c r="A47" s="7">
        <v>45852</v>
      </c>
      <c r="B47" s="3" t="s">
        <v>4</v>
      </c>
      <c r="C47" s="3" t="s">
        <v>9</v>
      </c>
      <c r="D47" s="3" t="s">
        <v>13</v>
      </c>
    </row>
    <row r="48" spans="1:4" x14ac:dyDescent="0.2">
      <c r="A48" s="7">
        <v>45852</v>
      </c>
      <c r="B48" s="3" t="s">
        <v>5</v>
      </c>
      <c r="C48" s="3" t="s">
        <v>9</v>
      </c>
      <c r="D48" s="3" t="s">
        <v>13</v>
      </c>
    </row>
    <row r="49" spans="1:4" x14ac:dyDescent="0.2">
      <c r="A49" s="7">
        <v>45852</v>
      </c>
      <c r="B49" s="3" t="s">
        <v>6</v>
      </c>
      <c r="C49" s="3" t="s">
        <v>9</v>
      </c>
      <c r="D49" s="3" t="s">
        <v>13</v>
      </c>
    </row>
    <row r="50" spans="1:4" x14ac:dyDescent="0.2">
      <c r="A50" s="7">
        <v>45852</v>
      </c>
      <c r="B50" s="3" t="s">
        <v>7</v>
      </c>
      <c r="C50" s="3" t="s">
        <v>9</v>
      </c>
      <c r="D50" s="3" t="s">
        <v>13</v>
      </c>
    </row>
    <row r="51" spans="1:4" x14ac:dyDescent="0.2">
      <c r="A51" s="7">
        <v>45852</v>
      </c>
      <c r="B51" s="3" t="s">
        <v>8</v>
      </c>
      <c r="C51" s="3" t="s">
        <v>9</v>
      </c>
      <c r="D51" s="3" t="s">
        <v>13</v>
      </c>
    </row>
    <row r="52" spans="1:4" x14ac:dyDescent="0.2">
      <c r="A52" s="7">
        <v>45853</v>
      </c>
      <c r="B52" s="3" t="s">
        <v>4</v>
      </c>
      <c r="C52" s="3" t="s">
        <v>9</v>
      </c>
      <c r="D52" s="3" t="s">
        <v>13</v>
      </c>
    </row>
    <row r="53" spans="1:4" x14ac:dyDescent="0.2">
      <c r="A53" s="7">
        <v>45853</v>
      </c>
      <c r="B53" s="3" t="s">
        <v>5</v>
      </c>
      <c r="C53" s="3" t="s">
        <v>9</v>
      </c>
      <c r="D53" s="3" t="s">
        <v>13</v>
      </c>
    </row>
    <row r="54" spans="1:4" x14ac:dyDescent="0.2">
      <c r="A54" s="7">
        <v>45853</v>
      </c>
      <c r="B54" s="3" t="s">
        <v>6</v>
      </c>
      <c r="C54" s="3" t="s">
        <v>9</v>
      </c>
      <c r="D54" s="3" t="s">
        <v>13</v>
      </c>
    </row>
    <row r="55" spans="1:4" x14ac:dyDescent="0.2">
      <c r="A55" s="7">
        <v>45853</v>
      </c>
      <c r="B55" s="3" t="s">
        <v>7</v>
      </c>
      <c r="C55" s="3" t="s">
        <v>9</v>
      </c>
      <c r="D55" s="3" t="s">
        <v>13</v>
      </c>
    </row>
    <row r="56" spans="1:4" x14ac:dyDescent="0.2">
      <c r="A56" s="7">
        <v>45853</v>
      </c>
      <c r="B56" s="3" t="s">
        <v>8</v>
      </c>
      <c r="C56" s="3" t="s">
        <v>9</v>
      </c>
      <c r="D56" s="3" t="s">
        <v>13</v>
      </c>
    </row>
    <row r="57" spans="1:4" x14ac:dyDescent="0.2">
      <c r="A57" s="7">
        <v>45854</v>
      </c>
      <c r="B57" s="3" t="s">
        <v>4</v>
      </c>
      <c r="C57" s="3" t="s">
        <v>9</v>
      </c>
      <c r="D57" s="3" t="s">
        <v>13</v>
      </c>
    </row>
    <row r="58" spans="1:4" x14ac:dyDescent="0.2">
      <c r="A58" s="7">
        <v>45854</v>
      </c>
      <c r="B58" s="3" t="s">
        <v>5</v>
      </c>
      <c r="C58" s="3" t="s">
        <v>10</v>
      </c>
      <c r="D58" s="3" t="s">
        <v>13</v>
      </c>
    </row>
    <row r="59" spans="1:4" x14ac:dyDescent="0.2">
      <c r="A59" s="7">
        <v>45854</v>
      </c>
      <c r="B59" s="3" t="s">
        <v>6</v>
      </c>
      <c r="C59" s="3" t="s">
        <v>9</v>
      </c>
      <c r="D59" s="3" t="s">
        <v>13</v>
      </c>
    </row>
    <row r="60" spans="1:4" x14ac:dyDescent="0.2">
      <c r="A60" s="7">
        <v>45854</v>
      </c>
      <c r="B60" s="3" t="s">
        <v>7</v>
      </c>
      <c r="C60" s="3" t="s">
        <v>9</v>
      </c>
      <c r="D60" s="3" t="s">
        <v>13</v>
      </c>
    </row>
    <row r="61" spans="1:4" x14ac:dyDescent="0.2">
      <c r="A61" s="7">
        <v>45854</v>
      </c>
      <c r="B61" s="3" t="s">
        <v>8</v>
      </c>
      <c r="C61" s="3" t="s">
        <v>9</v>
      </c>
      <c r="D61" s="3" t="s">
        <v>13</v>
      </c>
    </row>
    <row r="62" spans="1:4" x14ac:dyDescent="0.2">
      <c r="A62" s="7">
        <v>45855</v>
      </c>
      <c r="B62" s="3" t="s">
        <v>4</v>
      </c>
      <c r="C62" s="3" t="s">
        <v>9</v>
      </c>
      <c r="D62" s="3" t="s">
        <v>13</v>
      </c>
    </row>
    <row r="63" spans="1:4" x14ac:dyDescent="0.2">
      <c r="A63" s="7">
        <v>45855</v>
      </c>
      <c r="B63" s="3" t="s">
        <v>5</v>
      </c>
      <c r="C63" s="3" t="s">
        <v>10</v>
      </c>
      <c r="D63" s="3" t="s">
        <v>13</v>
      </c>
    </row>
    <row r="64" spans="1:4" x14ac:dyDescent="0.2">
      <c r="A64" s="7">
        <v>45855</v>
      </c>
      <c r="B64" s="3" t="s">
        <v>6</v>
      </c>
      <c r="C64" s="3" t="s">
        <v>9</v>
      </c>
      <c r="D64" s="3" t="s">
        <v>13</v>
      </c>
    </row>
    <row r="65" spans="1:4" x14ac:dyDescent="0.2">
      <c r="A65" s="7">
        <v>45855</v>
      </c>
      <c r="B65" s="3" t="s">
        <v>7</v>
      </c>
      <c r="C65" s="3" t="s">
        <v>9</v>
      </c>
      <c r="D65" s="3" t="s">
        <v>13</v>
      </c>
    </row>
    <row r="66" spans="1:4" x14ac:dyDescent="0.2">
      <c r="A66" s="7">
        <v>45855</v>
      </c>
      <c r="B66" s="3" t="s">
        <v>8</v>
      </c>
      <c r="C66" s="3" t="s">
        <v>9</v>
      </c>
      <c r="D66" s="3" t="s">
        <v>13</v>
      </c>
    </row>
    <row r="67" spans="1:4" x14ac:dyDescent="0.2">
      <c r="A67" s="7">
        <v>45856</v>
      </c>
      <c r="B67" s="3" t="s">
        <v>4</v>
      </c>
      <c r="C67" s="3" t="s">
        <v>9</v>
      </c>
      <c r="D67" s="3" t="s">
        <v>13</v>
      </c>
    </row>
    <row r="68" spans="1:4" x14ac:dyDescent="0.2">
      <c r="A68" s="7">
        <v>45856</v>
      </c>
      <c r="B68" s="3" t="s">
        <v>5</v>
      </c>
      <c r="C68" s="3" t="s">
        <v>9</v>
      </c>
      <c r="D68" s="3" t="s">
        <v>13</v>
      </c>
    </row>
    <row r="69" spans="1:4" x14ac:dyDescent="0.2">
      <c r="A69" s="7">
        <v>45856</v>
      </c>
      <c r="B69" s="3" t="s">
        <v>6</v>
      </c>
      <c r="C69" s="3" t="s">
        <v>9</v>
      </c>
      <c r="D69" s="3" t="s">
        <v>13</v>
      </c>
    </row>
    <row r="70" spans="1:4" x14ac:dyDescent="0.2">
      <c r="A70" s="7">
        <v>45856</v>
      </c>
      <c r="B70" s="3" t="s">
        <v>7</v>
      </c>
      <c r="C70" s="3" t="s">
        <v>10</v>
      </c>
      <c r="D70" s="3" t="s">
        <v>13</v>
      </c>
    </row>
    <row r="71" spans="1:4" x14ac:dyDescent="0.2">
      <c r="A71" s="7">
        <v>45856</v>
      </c>
      <c r="B71" s="3" t="s">
        <v>8</v>
      </c>
      <c r="C71" s="3" t="s">
        <v>9</v>
      </c>
      <c r="D71" s="3" t="s">
        <v>13</v>
      </c>
    </row>
    <row r="72" spans="1:4" x14ac:dyDescent="0.2">
      <c r="A72" s="7">
        <v>45859</v>
      </c>
      <c r="B72" s="3" t="s">
        <v>4</v>
      </c>
      <c r="C72" s="3" t="s">
        <v>9</v>
      </c>
      <c r="D72" s="3" t="s">
        <v>14</v>
      </c>
    </row>
    <row r="73" spans="1:4" x14ac:dyDescent="0.2">
      <c r="A73" s="7">
        <v>45859</v>
      </c>
      <c r="B73" s="3" t="s">
        <v>5</v>
      </c>
      <c r="C73" s="3" t="s">
        <v>9</v>
      </c>
      <c r="D73" s="3" t="s">
        <v>14</v>
      </c>
    </row>
    <row r="74" spans="1:4" x14ac:dyDescent="0.2">
      <c r="A74" s="7">
        <v>45859</v>
      </c>
      <c r="B74" s="3" t="s">
        <v>6</v>
      </c>
      <c r="C74" s="3" t="s">
        <v>9</v>
      </c>
      <c r="D74" s="3" t="s">
        <v>14</v>
      </c>
    </row>
    <row r="75" spans="1:4" x14ac:dyDescent="0.2">
      <c r="A75" s="7">
        <v>45859</v>
      </c>
      <c r="B75" s="3" t="s">
        <v>7</v>
      </c>
      <c r="C75" s="3" t="s">
        <v>9</v>
      </c>
      <c r="D75" s="3" t="s">
        <v>14</v>
      </c>
    </row>
    <row r="76" spans="1:4" x14ac:dyDescent="0.2">
      <c r="A76" s="7">
        <v>45859</v>
      </c>
      <c r="B76" s="3" t="s">
        <v>8</v>
      </c>
      <c r="C76" s="3" t="s">
        <v>9</v>
      </c>
      <c r="D76" s="3" t="s">
        <v>14</v>
      </c>
    </row>
    <row r="77" spans="1:4" x14ac:dyDescent="0.2">
      <c r="A77" s="7">
        <v>45860</v>
      </c>
      <c r="B77" s="3" t="s">
        <v>4</v>
      </c>
      <c r="C77" s="3" t="s">
        <v>9</v>
      </c>
      <c r="D77" s="3" t="s">
        <v>14</v>
      </c>
    </row>
    <row r="78" spans="1:4" x14ac:dyDescent="0.2">
      <c r="A78" s="7">
        <v>45860</v>
      </c>
      <c r="B78" s="3" t="s">
        <v>5</v>
      </c>
      <c r="C78" s="3" t="s">
        <v>10</v>
      </c>
      <c r="D78" s="3" t="s">
        <v>14</v>
      </c>
    </row>
    <row r="79" spans="1:4" x14ac:dyDescent="0.2">
      <c r="A79" s="7">
        <v>45860</v>
      </c>
      <c r="B79" s="3" t="s">
        <v>6</v>
      </c>
      <c r="C79" s="3" t="s">
        <v>9</v>
      </c>
      <c r="D79" s="3" t="s">
        <v>14</v>
      </c>
    </row>
    <row r="80" spans="1:4" x14ac:dyDescent="0.2">
      <c r="A80" s="7">
        <v>45860</v>
      </c>
      <c r="B80" s="3" t="s">
        <v>7</v>
      </c>
      <c r="C80" s="3" t="s">
        <v>9</v>
      </c>
      <c r="D80" s="3" t="s">
        <v>14</v>
      </c>
    </row>
    <row r="81" spans="1:4" x14ac:dyDescent="0.2">
      <c r="A81" s="7">
        <v>45860</v>
      </c>
      <c r="B81" s="3" t="s">
        <v>8</v>
      </c>
      <c r="C81" s="3" t="s">
        <v>9</v>
      </c>
      <c r="D81" s="3" t="s">
        <v>14</v>
      </c>
    </row>
    <row r="82" spans="1:4" x14ac:dyDescent="0.2">
      <c r="A82" s="7">
        <v>45861</v>
      </c>
      <c r="B82" s="3" t="s">
        <v>4</v>
      </c>
      <c r="C82" s="3" t="s">
        <v>9</v>
      </c>
      <c r="D82" s="3" t="s">
        <v>14</v>
      </c>
    </row>
    <row r="83" spans="1:4" x14ac:dyDescent="0.2">
      <c r="A83" s="7">
        <v>45861</v>
      </c>
      <c r="B83" s="3" t="s">
        <v>5</v>
      </c>
      <c r="C83" s="3" t="s">
        <v>10</v>
      </c>
      <c r="D83" s="3" t="s">
        <v>14</v>
      </c>
    </row>
    <row r="84" spans="1:4" x14ac:dyDescent="0.2">
      <c r="A84" s="7">
        <v>45861</v>
      </c>
      <c r="B84" s="3" t="s">
        <v>6</v>
      </c>
      <c r="C84" s="3" t="s">
        <v>9</v>
      </c>
      <c r="D84" s="3" t="s">
        <v>14</v>
      </c>
    </row>
    <row r="85" spans="1:4" x14ac:dyDescent="0.2">
      <c r="A85" s="7">
        <v>45861</v>
      </c>
      <c r="B85" s="3" t="s">
        <v>7</v>
      </c>
      <c r="C85" s="3" t="s">
        <v>9</v>
      </c>
      <c r="D85" s="3" t="s">
        <v>14</v>
      </c>
    </row>
    <row r="86" spans="1:4" x14ac:dyDescent="0.2">
      <c r="A86" s="7">
        <v>45861</v>
      </c>
      <c r="B86" s="3" t="s">
        <v>8</v>
      </c>
      <c r="C86" s="3" t="s">
        <v>9</v>
      </c>
      <c r="D86" s="3" t="s">
        <v>14</v>
      </c>
    </row>
    <row r="87" spans="1:4" x14ac:dyDescent="0.2">
      <c r="A87" s="7">
        <v>45862</v>
      </c>
      <c r="B87" s="3" t="s">
        <v>4</v>
      </c>
      <c r="C87" s="3" t="s">
        <v>9</v>
      </c>
      <c r="D87" s="3" t="s">
        <v>14</v>
      </c>
    </row>
    <row r="88" spans="1:4" x14ac:dyDescent="0.2">
      <c r="A88" s="7">
        <v>45862</v>
      </c>
      <c r="B88" s="3" t="s">
        <v>5</v>
      </c>
      <c r="C88" s="3" t="s">
        <v>10</v>
      </c>
      <c r="D88" s="3" t="s">
        <v>14</v>
      </c>
    </row>
    <row r="89" spans="1:4" x14ac:dyDescent="0.2">
      <c r="A89" s="7">
        <v>45862</v>
      </c>
      <c r="B89" s="3" t="s">
        <v>6</v>
      </c>
      <c r="C89" s="3" t="s">
        <v>9</v>
      </c>
      <c r="D89" s="3" t="s">
        <v>14</v>
      </c>
    </row>
    <row r="90" spans="1:4" x14ac:dyDescent="0.2">
      <c r="A90" s="7">
        <v>45862</v>
      </c>
      <c r="B90" s="3" t="s">
        <v>7</v>
      </c>
      <c r="C90" s="3" t="s">
        <v>10</v>
      </c>
      <c r="D90" s="3" t="s">
        <v>14</v>
      </c>
    </row>
    <row r="91" spans="1:4" x14ac:dyDescent="0.2">
      <c r="A91" s="7">
        <v>45862</v>
      </c>
      <c r="B91" s="3" t="s">
        <v>8</v>
      </c>
      <c r="C91" s="3" t="s">
        <v>9</v>
      </c>
      <c r="D91" s="3" t="s">
        <v>14</v>
      </c>
    </row>
    <row r="92" spans="1:4" x14ac:dyDescent="0.2">
      <c r="A92" s="7">
        <v>45863</v>
      </c>
      <c r="B92" s="3" t="s">
        <v>4</v>
      </c>
      <c r="C92" s="3" t="s">
        <v>9</v>
      </c>
      <c r="D92" s="3" t="s">
        <v>14</v>
      </c>
    </row>
    <row r="93" spans="1:4" x14ac:dyDescent="0.2">
      <c r="A93" s="7">
        <v>45863</v>
      </c>
      <c r="B93" s="3" t="s">
        <v>5</v>
      </c>
      <c r="C93" s="3" t="s">
        <v>10</v>
      </c>
      <c r="D93" s="3" t="s">
        <v>14</v>
      </c>
    </row>
    <row r="94" spans="1:4" x14ac:dyDescent="0.2">
      <c r="A94" s="7">
        <v>45863</v>
      </c>
      <c r="B94" s="3" t="s">
        <v>6</v>
      </c>
      <c r="C94" s="3" t="s">
        <v>9</v>
      </c>
      <c r="D94" s="3" t="s">
        <v>14</v>
      </c>
    </row>
    <row r="95" spans="1:4" x14ac:dyDescent="0.2">
      <c r="A95" s="7">
        <v>45863</v>
      </c>
      <c r="B95" s="3" t="s">
        <v>7</v>
      </c>
      <c r="C95" s="3" t="s">
        <v>9</v>
      </c>
      <c r="D95" s="3" t="s">
        <v>14</v>
      </c>
    </row>
    <row r="96" spans="1:4" x14ac:dyDescent="0.2">
      <c r="A96" s="7">
        <v>45863</v>
      </c>
      <c r="B96" s="3" t="s">
        <v>8</v>
      </c>
      <c r="C96" s="3" t="s">
        <v>9</v>
      </c>
      <c r="D96" s="3" t="s">
        <v>14</v>
      </c>
    </row>
    <row r="97" spans="1:4" x14ac:dyDescent="0.2">
      <c r="A97" s="7">
        <v>45866</v>
      </c>
      <c r="B97" s="3" t="s">
        <v>4</v>
      </c>
      <c r="C97" s="3" t="s">
        <v>9</v>
      </c>
      <c r="D97" s="3" t="s">
        <v>15</v>
      </c>
    </row>
    <row r="98" spans="1:4" x14ac:dyDescent="0.2">
      <c r="A98" s="7">
        <v>45866</v>
      </c>
      <c r="B98" s="3" t="s">
        <v>5</v>
      </c>
      <c r="C98" s="3" t="s">
        <v>9</v>
      </c>
      <c r="D98" s="3" t="s">
        <v>15</v>
      </c>
    </row>
    <row r="99" spans="1:4" x14ac:dyDescent="0.2">
      <c r="A99" s="7">
        <v>45866</v>
      </c>
      <c r="B99" s="3" t="s">
        <v>6</v>
      </c>
      <c r="C99" s="3" t="s">
        <v>10</v>
      </c>
      <c r="D99" s="3" t="s">
        <v>15</v>
      </c>
    </row>
    <row r="100" spans="1:4" x14ac:dyDescent="0.2">
      <c r="A100" s="7">
        <v>45866</v>
      </c>
      <c r="B100" s="3" t="s">
        <v>7</v>
      </c>
      <c r="C100" s="3" t="s">
        <v>9</v>
      </c>
      <c r="D100" s="3" t="s">
        <v>15</v>
      </c>
    </row>
    <row r="101" spans="1:4" x14ac:dyDescent="0.2">
      <c r="A101" s="7">
        <v>45866</v>
      </c>
      <c r="B101" s="3" t="s">
        <v>8</v>
      </c>
      <c r="C101" s="3" t="s">
        <v>9</v>
      </c>
      <c r="D101" s="3" t="s">
        <v>15</v>
      </c>
    </row>
    <row r="102" spans="1:4" x14ac:dyDescent="0.2">
      <c r="A102" s="7">
        <v>45867</v>
      </c>
      <c r="B102" s="3" t="s">
        <v>4</v>
      </c>
      <c r="C102" s="3" t="s">
        <v>9</v>
      </c>
      <c r="D102" s="3" t="s">
        <v>15</v>
      </c>
    </row>
    <row r="103" spans="1:4" x14ac:dyDescent="0.2">
      <c r="A103" s="7">
        <v>45867</v>
      </c>
      <c r="B103" s="3" t="s">
        <v>5</v>
      </c>
      <c r="C103" s="3" t="s">
        <v>9</v>
      </c>
      <c r="D103" s="3" t="s">
        <v>15</v>
      </c>
    </row>
    <row r="104" spans="1:4" x14ac:dyDescent="0.2">
      <c r="A104" s="7">
        <v>45867</v>
      </c>
      <c r="B104" s="3" t="s">
        <v>6</v>
      </c>
      <c r="C104" s="3" t="s">
        <v>10</v>
      </c>
      <c r="D104" s="3" t="s">
        <v>15</v>
      </c>
    </row>
    <row r="105" spans="1:4" x14ac:dyDescent="0.2">
      <c r="A105" s="7">
        <v>45867</v>
      </c>
      <c r="B105" s="3" t="s">
        <v>7</v>
      </c>
      <c r="C105" s="3" t="s">
        <v>9</v>
      </c>
      <c r="D105" s="3" t="s">
        <v>15</v>
      </c>
    </row>
    <row r="106" spans="1:4" x14ac:dyDescent="0.2">
      <c r="A106" s="7">
        <v>45867</v>
      </c>
      <c r="B106" s="3" t="s">
        <v>8</v>
      </c>
      <c r="C106" s="3" t="s">
        <v>9</v>
      </c>
      <c r="D106" s="3" t="s">
        <v>15</v>
      </c>
    </row>
    <row r="107" spans="1:4" x14ac:dyDescent="0.2">
      <c r="A107" s="7">
        <v>45868</v>
      </c>
      <c r="B107" s="3" t="s">
        <v>4</v>
      </c>
      <c r="C107" s="3" t="s">
        <v>9</v>
      </c>
      <c r="D107" s="3" t="s">
        <v>15</v>
      </c>
    </row>
    <row r="108" spans="1:4" x14ac:dyDescent="0.2">
      <c r="A108" s="7">
        <v>45868</v>
      </c>
      <c r="B108" s="3" t="s">
        <v>5</v>
      </c>
      <c r="C108" s="3" t="s">
        <v>10</v>
      </c>
      <c r="D108" s="3" t="s">
        <v>15</v>
      </c>
    </row>
    <row r="109" spans="1:4" x14ac:dyDescent="0.2">
      <c r="A109" s="7">
        <v>45868</v>
      </c>
      <c r="B109" s="3" t="s">
        <v>6</v>
      </c>
      <c r="C109" s="3" t="s">
        <v>9</v>
      </c>
      <c r="D109" s="3" t="s">
        <v>15</v>
      </c>
    </row>
    <row r="110" spans="1:4" x14ac:dyDescent="0.2">
      <c r="A110" s="7">
        <v>45868</v>
      </c>
      <c r="B110" s="3" t="s">
        <v>7</v>
      </c>
      <c r="C110" s="3" t="s">
        <v>9</v>
      </c>
      <c r="D110" s="3" t="s">
        <v>15</v>
      </c>
    </row>
    <row r="111" spans="1:4" x14ac:dyDescent="0.2">
      <c r="A111" s="7">
        <v>45868</v>
      </c>
      <c r="B111" s="3" t="s">
        <v>8</v>
      </c>
      <c r="C111" s="3" t="s">
        <v>9</v>
      </c>
      <c r="D111" s="3" t="s">
        <v>15</v>
      </c>
    </row>
    <row r="112" spans="1:4" x14ac:dyDescent="0.2">
      <c r="A112" s="7">
        <v>45869</v>
      </c>
      <c r="B112" s="3" t="s">
        <v>4</v>
      </c>
      <c r="C112" s="3" t="s">
        <v>9</v>
      </c>
      <c r="D112" s="3" t="s">
        <v>15</v>
      </c>
    </row>
    <row r="113" spans="1:4" x14ac:dyDescent="0.2">
      <c r="A113" s="7">
        <v>45869</v>
      </c>
      <c r="B113" s="3" t="s">
        <v>5</v>
      </c>
      <c r="C113" s="3" t="s">
        <v>9</v>
      </c>
      <c r="D113" s="3" t="s">
        <v>15</v>
      </c>
    </row>
    <row r="114" spans="1:4" x14ac:dyDescent="0.2">
      <c r="A114" s="7">
        <v>45869</v>
      </c>
      <c r="B114" s="3" t="s">
        <v>6</v>
      </c>
      <c r="C114" s="3" t="s">
        <v>9</v>
      </c>
      <c r="D114" s="3" t="s">
        <v>15</v>
      </c>
    </row>
    <row r="115" spans="1:4" x14ac:dyDescent="0.2">
      <c r="A115" s="7">
        <v>45869</v>
      </c>
      <c r="B115" s="3" t="s">
        <v>7</v>
      </c>
      <c r="C115" s="3" t="s">
        <v>9</v>
      </c>
      <c r="D115" s="3" t="s">
        <v>15</v>
      </c>
    </row>
    <row r="116" spans="1:4" x14ac:dyDescent="0.2">
      <c r="A116" s="7">
        <v>45869</v>
      </c>
      <c r="B116" s="3" t="s">
        <v>8</v>
      </c>
      <c r="C116" s="3" t="s">
        <v>9</v>
      </c>
      <c r="D116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150" zoomScaleNormal="150" workbookViewId="0">
      <selection activeCell="H8" sqref="H8"/>
    </sheetView>
  </sheetViews>
  <sheetFormatPr baseColWidth="10" defaultColWidth="8.83203125" defaultRowHeight="15" x14ac:dyDescent="0.2"/>
  <cols>
    <col min="1" max="1" width="14.6640625" customWidth="1"/>
    <col min="2" max="3" width="12.6640625" customWidth="1"/>
    <col min="4" max="4" width="14.6640625" customWidth="1"/>
    <col min="5" max="5" width="12.6640625" customWidth="1"/>
    <col min="6" max="7" width="8.83203125" customWidth="1"/>
  </cols>
  <sheetData>
    <row r="1" spans="1:5" x14ac:dyDescent="0.2">
      <c r="A1" s="2" t="s">
        <v>1</v>
      </c>
      <c r="B1" s="2" t="s">
        <v>16</v>
      </c>
      <c r="C1" s="2" t="s">
        <v>17</v>
      </c>
      <c r="D1" s="2" t="s">
        <v>18</v>
      </c>
      <c r="E1" s="2" t="s">
        <v>2</v>
      </c>
    </row>
    <row r="2" spans="1:5" x14ac:dyDescent="0.2">
      <c r="A2" s="3" t="s">
        <v>4</v>
      </c>
      <c r="B2" s="3">
        <f>COUNTIF(Input!$B:$B, A2)</f>
        <v>23</v>
      </c>
      <c r="C2" s="3">
        <f>COUNTIFS(Input!$B:$B, A2, Input!$C:$C, "P")</f>
        <v>22</v>
      </c>
      <c r="D2" s="6">
        <f>(C2/B2)*100</f>
        <v>95.652173913043484</v>
      </c>
      <c r="E2" s="3" t="str">
        <f>IF(D2&lt;75,"Defaulter","OK")</f>
        <v>OK</v>
      </c>
    </row>
    <row r="3" spans="1:5" x14ac:dyDescent="0.2">
      <c r="A3" s="3" t="s">
        <v>5</v>
      </c>
      <c r="B3" s="3">
        <f>COUNTIF(Input!$B:$B, A3)</f>
        <v>23</v>
      </c>
      <c r="C3" s="3">
        <f>COUNTIFS(Input!$B:$B, A3, Input!$C:$C, "P")</f>
        <v>12</v>
      </c>
      <c r="D3" s="6">
        <f t="shared" ref="D3:D6" si="0">(C3/B3)*100</f>
        <v>52.173913043478258</v>
      </c>
      <c r="E3" s="3" t="str">
        <f t="shared" ref="E3:E6" si="1">IF(D3&lt;75,"Defaulter","OK")</f>
        <v>Defaulter</v>
      </c>
    </row>
    <row r="4" spans="1:5" x14ac:dyDescent="0.2">
      <c r="A4" s="3" t="s">
        <v>6</v>
      </c>
      <c r="B4" s="3">
        <f>COUNTIF(Input!$B:$B, A4)</f>
        <v>23</v>
      </c>
      <c r="C4" s="3">
        <f>COUNTIFS(Input!$B:$B, A4, Input!$C:$C, "P")</f>
        <v>20</v>
      </c>
      <c r="D4" s="6">
        <f t="shared" si="0"/>
        <v>86.956521739130437</v>
      </c>
      <c r="E4" s="3" t="str">
        <f t="shared" si="1"/>
        <v>OK</v>
      </c>
    </row>
    <row r="5" spans="1:5" x14ac:dyDescent="0.2">
      <c r="A5" s="3" t="s">
        <v>7</v>
      </c>
      <c r="B5" s="3">
        <f>COUNTIF(Input!$B:$B, A5)</f>
        <v>23</v>
      </c>
      <c r="C5" s="3">
        <f>COUNTIFS(Input!$B:$B, A5, Input!$C:$C, "P")</f>
        <v>18</v>
      </c>
      <c r="D5" s="6">
        <f t="shared" si="0"/>
        <v>78.260869565217391</v>
      </c>
      <c r="E5" s="3" t="str">
        <f t="shared" si="1"/>
        <v>OK</v>
      </c>
    </row>
    <row r="6" spans="1:5" x14ac:dyDescent="0.2">
      <c r="A6" s="3" t="s">
        <v>8</v>
      </c>
      <c r="B6" s="3">
        <f>COUNTIF(Input!$B:$B, A6)</f>
        <v>23</v>
      </c>
      <c r="C6" s="3">
        <f>COUNTIFS(Input!$B:$B, A6, Input!$C:$C, "P")</f>
        <v>23</v>
      </c>
      <c r="D6" s="6">
        <f t="shared" si="0"/>
        <v>100</v>
      </c>
      <c r="E6" s="3" t="str">
        <f t="shared" si="1"/>
        <v>OK</v>
      </c>
    </row>
  </sheetData>
  <conditionalFormatting sqref="D1:D6">
    <cfRule type="cellIs" dxfId="4" priority="1" operator="lessThan">
      <formula>75</formula>
    </cfRule>
  </conditionalFormatting>
  <conditionalFormatting sqref="D2:D6">
    <cfRule type="cellIs" dxfId="3" priority="2" operator="lessThan">
      <formula>0.75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="150" zoomScaleNormal="150" workbookViewId="0">
      <selection activeCell="C10" sqref="C10"/>
    </sheetView>
  </sheetViews>
  <sheetFormatPr baseColWidth="10" defaultColWidth="8.83203125" defaultRowHeight="15" x14ac:dyDescent="0.2"/>
  <cols>
    <col min="1" max="1" width="10.6640625" customWidth="1"/>
    <col min="2" max="7" width="12.6640625" customWidth="1"/>
  </cols>
  <sheetData>
    <row r="1" spans="1:6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2">
      <c r="A2" s="3" t="s">
        <v>11</v>
      </c>
      <c r="B2" s="10">
        <f>IF(COUNTIFS(Input!$B:$B,"Rahul",Input!$D:$D,$A2)=0,NA(),COUNTIFS(Input!$B:$B,"Rahul",Input!$C:$C,"P",Input!$D:$D,$A2)/COUNTIFS(Input!$B:$B,"Rahul",Input!$D:$D,$A2))</f>
        <v>1</v>
      </c>
      <c r="C2" s="10">
        <f>IF(COUNTIFS(Input!$B:$B,"Keerthi",Input!$D:$D,$A2)=0,NA(),COUNTIFS(Input!$B:$B,"Keerthi",Input!$C:$C,"P",Input!$D:$D,$A2)/COUNTIFS(Input!$B:$B,"Keerthi",Input!$D:$D,$A2))</f>
        <v>0.5</v>
      </c>
      <c r="D2" s="10">
        <f>IF(COUNTIFS(Input!$B:$B,"Aisha",Input!$D:$D,$A2)=0,NA(),COUNTIFS(Input!$B:$B,"Aisha",Input!$C:$C,"P",Input!$D:$D,$A2)/COUNTIFS(Input!$B:$B,"Aisha",Input!$D:$D,$A2))</f>
        <v>1</v>
      </c>
      <c r="E2" s="10">
        <f>IF(COUNTIFS(Input!$B:$B,"Rohan",Input!$D:$D,$A2)=0,NA(),COUNTIFS(Input!$B:$B,"Rohan",Input!$C:$C,"P",Input!$D:$D,$A2)/COUNTIFS(Input!$B:$B,"Rohan",Input!$D:$D,$A2))</f>
        <v>0.75</v>
      </c>
      <c r="F2" s="10">
        <f>IF(COUNTIFS(Input!$B:$B,"Neha",Input!$D:$D,$A2)=0,NA(),COUNTIFS(Input!$B:$B,"Neha",Input!$C:$C,"P",Input!$D:$D,$A2)/COUNTIFS(Input!$B:$B,"Neha",Input!$D:$D,$A2))</f>
        <v>1</v>
      </c>
    </row>
    <row r="3" spans="1:6" x14ac:dyDescent="0.2">
      <c r="A3" s="3" t="s">
        <v>12</v>
      </c>
      <c r="B3" s="10">
        <f>IF(COUNTIFS(Input!$B:$B,"Rahul",Input!$D:$D,$A3)=0,NA(),COUNTIFS(Input!$B:$B,"Rahul",Input!$C:$C,"P",Input!$D:$D,$A3)/COUNTIFS(Input!$B:$B,"Rahul",Input!$D:$D,$A3))</f>
        <v>0.8</v>
      </c>
      <c r="C3" s="10">
        <f>IF(COUNTIFS(Input!$B:$B,"Keerthi",Input!$D:$D,$A3)=0,NA(),COUNTIFS(Input!$B:$B,"Keerthi",Input!$C:$C,"P",Input!$D:$D,$A3)/COUNTIFS(Input!$B:$B,"Keerthi",Input!$D:$D,$A3))</f>
        <v>0.6</v>
      </c>
      <c r="D3" s="10">
        <f>IF(COUNTIFS(Input!$B:$B,"Aisha",Input!$D:$D,$A3)=0,NA(),COUNTIFS(Input!$B:$B,"Aisha",Input!$C:$C,"P",Input!$D:$D,$A3)/COUNTIFS(Input!$B:$B,"Aisha",Input!$D:$D,$A3))</f>
        <v>0.8</v>
      </c>
      <c r="E3" s="10">
        <f>IF(COUNTIFS(Input!$B:$B,"Rohan",Input!$D:$D,$A3)=0,NA(),COUNTIFS(Input!$B:$B,"Rohan",Input!$C:$C,"P",Input!$D:$D,$A3)/COUNTIFS(Input!$B:$B,"Rohan",Input!$D:$D,$A3))</f>
        <v>0.6</v>
      </c>
      <c r="F3" s="10">
        <f>IF(COUNTIFS(Input!$B:$B,"Neha",Input!$D:$D,$A3)=0,NA(),COUNTIFS(Input!$B:$B,"Neha",Input!$C:$C,"P",Input!$D:$D,$A3)/COUNTIFS(Input!$B:$B,"Neha",Input!$D:$D,$A3))</f>
        <v>1</v>
      </c>
    </row>
    <row r="4" spans="1:6" x14ac:dyDescent="0.2">
      <c r="A4" s="3" t="s">
        <v>13</v>
      </c>
      <c r="B4" s="10">
        <f>IF(COUNTIFS(Input!$B:$B,"Rahul",Input!$D:$D,$A4)=0,NA(),COUNTIFS(Input!$B:$B,"Rahul",Input!$C:$C,"P",Input!$D:$D,$A4)/COUNTIFS(Input!$B:$B,"Rahul",Input!$D:$D,$A4))</f>
        <v>1</v>
      </c>
      <c r="C4" s="10">
        <f>IF(COUNTIFS(Input!$B:$B,"Keerthi",Input!$D:$D,$A4)=0,NA(),COUNTIFS(Input!$B:$B,"Keerthi",Input!$C:$C,"P",Input!$D:$D,$A4)/COUNTIFS(Input!$B:$B,"Keerthi",Input!$D:$D,$A4))</f>
        <v>0.6</v>
      </c>
      <c r="D4" s="10">
        <f>IF(COUNTIFS(Input!$B:$B,"Aisha",Input!$D:$D,$A4)=0,NA(),COUNTIFS(Input!$B:$B,"Aisha",Input!$C:$C,"P",Input!$D:$D,$A4)/COUNTIFS(Input!$B:$B,"Aisha",Input!$D:$D,$A4))</f>
        <v>1</v>
      </c>
      <c r="E4" s="10">
        <f>IF(COUNTIFS(Input!$B:$B,"Rohan",Input!$D:$D,$A4)=0,NA(),COUNTIFS(Input!$B:$B,"Rohan",Input!$C:$C,"P",Input!$D:$D,$A4)/COUNTIFS(Input!$B:$B,"Rohan",Input!$D:$D,$A4))</f>
        <v>0.8</v>
      </c>
      <c r="F4" s="10">
        <f>IF(COUNTIFS(Input!$B:$B,"Neha",Input!$D:$D,$A4)=0,NA(),COUNTIFS(Input!$B:$B,"Neha",Input!$C:$C,"P",Input!$D:$D,$A4)/COUNTIFS(Input!$B:$B,"Neha",Input!$D:$D,$A4))</f>
        <v>1</v>
      </c>
    </row>
    <row r="5" spans="1:6" x14ac:dyDescent="0.2">
      <c r="A5" s="3" t="s">
        <v>14</v>
      </c>
      <c r="B5" s="10">
        <f>IF(COUNTIFS(Input!$B:$B,"Rahul",Input!$D:$D,$A5)=0,NA(),COUNTIFS(Input!$B:$B,"Rahul",Input!$C:$C,"P",Input!$D:$D,$A5)/COUNTIFS(Input!$B:$B,"Rahul",Input!$D:$D,$A5))</f>
        <v>1</v>
      </c>
      <c r="C5" s="10">
        <f>IF(COUNTIFS(Input!$B:$B,"Keerthi",Input!$D:$D,$A5)=0,NA(),COUNTIFS(Input!$B:$B,"Keerthi",Input!$C:$C,"P",Input!$D:$D,$A5)/COUNTIFS(Input!$B:$B,"Keerthi",Input!$D:$D,$A5))</f>
        <v>0.2</v>
      </c>
      <c r="D5" s="10">
        <f>IF(COUNTIFS(Input!$B:$B,"Aisha",Input!$D:$D,$A5)=0,NA(),COUNTIFS(Input!$B:$B,"Aisha",Input!$C:$C,"P",Input!$D:$D,$A5)/COUNTIFS(Input!$B:$B,"Aisha",Input!$D:$D,$A5))</f>
        <v>1</v>
      </c>
      <c r="E5" s="10">
        <f>IF(COUNTIFS(Input!$B:$B,"Rohan",Input!$D:$D,$A5)=0,NA(),COUNTIFS(Input!$B:$B,"Rohan",Input!$C:$C,"P",Input!$D:$D,$A5)/COUNTIFS(Input!$B:$B,"Rohan",Input!$D:$D,$A5))</f>
        <v>0.8</v>
      </c>
      <c r="F5" s="10">
        <f>IF(COUNTIFS(Input!$B:$B,"Neha",Input!$D:$D,$A5)=0,NA(),COUNTIFS(Input!$B:$B,"Neha",Input!$C:$C,"P",Input!$D:$D,$A5)/COUNTIFS(Input!$B:$B,"Neha",Input!$D:$D,$A5))</f>
        <v>1</v>
      </c>
    </row>
    <row r="6" spans="1:6" x14ac:dyDescent="0.2">
      <c r="A6" s="3" t="s">
        <v>15</v>
      </c>
      <c r="B6" s="10">
        <f>IF(COUNTIFS(Input!$B:$B,"Rahul",Input!$D:$D,$A6)=0,NA(),COUNTIFS(Input!$B:$B,"Rahul",Input!$C:$C,"P",Input!$D:$D,$A6)/COUNTIFS(Input!$B:$B,"Rahul",Input!$D:$D,$A6))</f>
        <v>1</v>
      </c>
      <c r="C6" s="10">
        <f>IF(COUNTIFS(Input!$B:$B,"Keerthi",Input!$D:$D,$A6)=0,NA(),COUNTIFS(Input!$B:$B,"Keerthi",Input!$C:$C,"P",Input!$D:$D,$A6)/COUNTIFS(Input!$B:$B,"Keerthi",Input!$D:$D,$A6))</f>
        <v>0.75</v>
      </c>
      <c r="D6" s="10">
        <f>IF(COUNTIFS(Input!$B:$B,"Aisha",Input!$D:$D,$A6)=0,NA(),COUNTIFS(Input!$B:$B,"Aisha",Input!$C:$C,"P",Input!$D:$D,$A6)/COUNTIFS(Input!$B:$B,"Aisha",Input!$D:$D,$A6))</f>
        <v>0.5</v>
      </c>
      <c r="E6" s="10">
        <f>IF(COUNTIFS(Input!$B:$B,"Rohan",Input!$D:$D,$A6)=0,NA(),COUNTIFS(Input!$B:$B,"Rohan",Input!$C:$C,"P",Input!$D:$D,$A6)/COUNTIFS(Input!$B:$B,"Rohan",Input!$D:$D,$A6))</f>
        <v>1</v>
      </c>
      <c r="F6" s="10">
        <f>IF(COUNTIFS(Input!$B:$B,"Neha",Input!$D:$D,$A6)=0,NA(),COUNTIFS(Input!$B:$B,"Neha",Input!$C:$C,"P",Input!$D:$D,$A6)/COUNTIFS(Input!$B:$B,"Neha",Input!$D:$D,$A6))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tabSelected="1" topLeftCell="A6" zoomScale="150" zoomScaleNormal="150" workbookViewId="0">
      <selection activeCell="C18" sqref="C18:C19"/>
    </sheetView>
  </sheetViews>
  <sheetFormatPr baseColWidth="10" defaultColWidth="8.83203125" defaultRowHeight="15" x14ac:dyDescent="0.2"/>
  <cols>
    <col min="1" max="1" width="14.6640625" customWidth="1"/>
    <col min="2" max="2" width="12.6640625" customWidth="1"/>
    <col min="3" max="3" width="17" customWidth="1"/>
    <col min="4" max="4" width="16.6640625" customWidth="1"/>
    <col min="5" max="5" width="12.6640625" customWidth="1"/>
    <col min="7" max="7" width="16" customWidth="1"/>
  </cols>
  <sheetData>
    <row r="1" spans="1:6" x14ac:dyDescent="0.2">
      <c r="A1" s="9" t="s">
        <v>19</v>
      </c>
      <c r="B1" s="9"/>
      <c r="C1" s="9"/>
      <c r="D1" s="9"/>
      <c r="E1" s="9"/>
      <c r="F1" s="9"/>
    </row>
    <row r="2" spans="1:6" x14ac:dyDescent="0.2">
      <c r="A2" s="9"/>
      <c r="B2" s="9"/>
      <c r="C2" s="9"/>
      <c r="D2" s="9"/>
      <c r="E2" s="9"/>
      <c r="F2" s="9"/>
    </row>
    <row r="4" spans="1:6" ht="15" customHeight="1" x14ac:dyDescent="0.2">
      <c r="A4" s="8" t="s">
        <v>20</v>
      </c>
      <c r="B4" s="8"/>
      <c r="C4" s="8"/>
      <c r="D4" s="8"/>
      <c r="E4" s="8"/>
    </row>
    <row r="5" spans="1:6" ht="15" customHeight="1" x14ac:dyDescent="0.2">
      <c r="A5" s="2" t="s">
        <v>1</v>
      </c>
      <c r="B5" s="2" t="s">
        <v>16</v>
      </c>
      <c r="C5" s="2" t="s">
        <v>17</v>
      </c>
      <c r="D5" s="2" t="s">
        <v>18</v>
      </c>
      <c r="E5" s="2" t="s">
        <v>2</v>
      </c>
    </row>
    <row r="6" spans="1:6" ht="15" customHeight="1" x14ac:dyDescent="0.2">
      <c r="A6" s="3" t="str">
        <f>Summary!A2</f>
        <v>Rahul</v>
      </c>
      <c r="B6" s="3">
        <f>Summary!B2</f>
        <v>23</v>
      </c>
      <c r="C6" s="3">
        <f>Summary!C2</f>
        <v>22</v>
      </c>
      <c r="D6" s="6">
        <f>Summary!D2</f>
        <v>95.652173913043484</v>
      </c>
      <c r="E6" s="3" t="str">
        <f>Summary!E2</f>
        <v>OK</v>
      </c>
    </row>
    <row r="7" spans="1:6" ht="15" customHeight="1" x14ac:dyDescent="0.2">
      <c r="A7" s="3" t="str">
        <f>Summary!A3</f>
        <v>Keerthi</v>
      </c>
      <c r="B7" s="3">
        <f>Summary!B3</f>
        <v>23</v>
      </c>
      <c r="C7" s="3">
        <f>Summary!C3</f>
        <v>12</v>
      </c>
      <c r="D7" s="6">
        <f>Summary!D3</f>
        <v>52.173913043478258</v>
      </c>
      <c r="E7" s="3" t="str">
        <f>Summary!E3</f>
        <v>Defaulter</v>
      </c>
    </row>
    <row r="8" spans="1:6" ht="15" customHeight="1" x14ac:dyDescent="0.2">
      <c r="A8" s="3" t="str">
        <f>Summary!A4</f>
        <v>Aisha</v>
      </c>
      <c r="B8" s="3">
        <f>Summary!B4</f>
        <v>23</v>
      </c>
      <c r="C8" s="3">
        <f>Summary!C4</f>
        <v>20</v>
      </c>
      <c r="D8" s="6">
        <f>Summary!D4</f>
        <v>86.956521739130437</v>
      </c>
      <c r="E8" s="3" t="str">
        <f>Summary!E4</f>
        <v>OK</v>
      </c>
    </row>
    <row r="9" spans="1:6" ht="15" customHeight="1" x14ac:dyDescent="0.2">
      <c r="A9" s="3" t="str">
        <f>Summary!A5</f>
        <v>Rohan</v>
      </c>
      <c r="B9" s="3">
        <f>Summary!B5</f>
        <v>23</v>
      </c>
      <c r="C9" s="3">
        <f>Summary!C5</f>
        <v>18</v>
      </c>
      <c r="D9" s="6">
        <f>Summary!D5</f>
        <v>78.260869565217391</v>
      </c>
      <c r="E9" s="3" t="str">
        <f>Summary!E5</f>
        <v>OK</v>
      </c>
    </row>
    <row r="10" spans="1:6" ht="15" customHeight="1" x14ac:dyDescent="0.2">
      <c r="A10" s="3" t="str">
        <f>Summary!A6</f>
        <v>Neha</v>
      </c>
      <c r="B10" s="3">
        <f>Summary!B6</f>
        <v>23</v>
      </c>
      <c r="C10" s="3">
        <f>Summary!C6</f>
        <v>23</v>
      </c>
      <c r="D10" s="6">
        <f>Summary!D6</f>
        <v>100</v>
      </c>
      <c r="E10" s="3" t="str">
        <f>Summary!E6</f>
        <v>OK</v>
      </c>
    </row>
    <row r="18" spans="3:3" x14ac:dyDescent="0.2">
      <c r="C18" s="4" t="s">
        <v>21</v>
      </c>
    </row>
    <row r="19" spans="3:3" x14ac:dyDescent="0.2">
      <c r="C19" s="5">
        <f>COUNTIF(Summary!D2:D100,"&lt;75")</f>
        <v>1</v>
      </c>
    </row>
  </sheetData>
  <mergeCells count="2">
    <mergeCell ref="A4:E4"/>
    <mergeCell ref="A1:F2"/>
  </mergeCells>
  <conditionalFormatting sqref="D5:D10">
    <cfRule type="cellIs" dxfId="2" priority="1" operator="lessThan">
      <formula>75</formula>
    </cfRule>
    <cfRule type="cellIs" dxfId="1" priority="2" operator="lessThan">
      <formula>75</formula>
    </cfRule>
  </conditionalFormatting>
  <conditionalFormatting sqref="D7:D10">
    <cfRule type="cellIs" dxfId="0" priority="3" operator="lessThan">
      <formula>0.75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Summary</vt:lpstr>
      <vt:lpstr>Weekly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Kushwaha</cp:lastModifiedBy>
  <dcterms:created xsi:type="dcterms:W3CDTF">2025-08-21T15:00:22Z</dcterms:created>
  <dcterms:modified xsi:type="dcterms:W3CDTF">2025-08-22T08:44:06Z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2025-08-21T15:13:18Z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76db324a-be95-41c8-98de-8727adcfa146</vt:lpwstr>
  </property>
  <property fmtid="{D5CDD505-2E9C-101B-9397-08002B2CF9AE}" pid="7" name="MSIP_Label_defa4170-0d19-0005-0004-bc88714345d2_ActionId">
    <vt:lpwstr>c24afd85-4006-44e7-ad40-462c62878b13</vt:lpwstr>
  </property>
  <property fmtid="{D5CDD505-2E9C-101B-9397-08002B2CF9AE}" pid="8" name="MSIP_Label_defa4170-0d19-0005-0004-bc88714345d2_ContentBits">
    <vt:lpwstr>0</vt:lpwstr>
  </property>
</Properties>
</file>